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\Documents\HP\tool\xl\"/>
    </mc:Choice>
  </mc:AlternateContent>
  <bookViews>
    <workbookView xWindow="0" yWindow="0" windowWidth="28800" windowHeight="12450" activeTab="3"/>
  </bookViews>
  <sheets>
    <sheet name="Sheet2" sheetId="2" r:id="rId1"/>
    <sheet name="列挙する" sheetId="4" r:id="rId2"/>
    <sheet name="UNICODEサロゲート文字を含むファイルパス" sheetId="3" r:id="rId3"/>
    <sheet name="文字数を取得する" sheetId="6" r:id="rId4"/>
    <sheet name="Sheet1" sheetId="1" r:id="rId5"/>
    <sheet name="MKDIRテスト" sheetId="5" r:id="rId6"/>
  </sheets>
  <functionGroups builtInGroupCount="18"/>
  <definedNames>
    <definedName name="_xlnm._FilterDatabase" localSheetId="4" hidden="1">Sheet1!$A$1:$A$28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6" l="1"/>
  <c r="C5" i="6"/>
  <c r="D3" i="6"/>
  <c r="C3" i="6"/>
  <c r="B2" i="6"/>
  <c r="D2" i="6" s="1"/>
  <c r="B4" i="6"/>
  <c r="D4" i="6" s="1"/>
  <c r="C4" i="6" l="1"/>
  <c r="C2" i="6"/>
  <c r="B7" i="3"/>
  <c r="D6" i="3"/>
  <c r="C6" i="3"/>
  <c r="B4" i="3"/>
  <c r="D14" i="3" l="1"/>
  <c r="C14" i="3"/>
  <c r="B9" i="3"/>
  <c r="F2" i="3"/>
  <c r="E19" i="3"/>
  <c r="D5" i="3"/>
  <c r="C5" i="3"/>
  <c r="D4" i="3"/>
  <c r="D3" i="3"/>
  <c r="D2" i="3"/>
  <c r="C4" i="3"/>
  <c r="B3" i="3"/>
  <c r="C3" i="3" s="1"/>
  <c r="B2" i="3"/>
  <c r="C2" i="3" s="1"/>
  <c r="A18" i="2" l="1"/>
  <c r="B3" i="2" l="1"/>
  <c r="B6" i="2" s="1"/>
  <c r="B4" i="2" l="1"/>
  <c r="B7" i="2" s="1"/>
</calcChain>
</file>

<file path=xl/sharedStrings.xml><?xml version="1.0" encoding="utf-8"?>
<sst xmlns="http://schemas.openxmlformats.org/spreadsheetml/2006/main" count="93" uniqueCount="66">
  <si>
    <t>EXEC master.dbo.sp_addlinkedsrvlogin @rmtsrvname=N'リンクサーバーTEST',@useself=N'True',@locallogin=NULL,@rmtuser=NULL,@rmtpassword=NULL</t>
  </si>
  <si>
    <t>GO</t>
  </si>
  <si>
    <t>EXEC master.dbo.sp_serveroption @server=N'リンクサーバーTEST', @optname=N'data access', @optvalue=N'true'</t>
  </si>
  <si>
    <t>EXEC master.dbo.sp_serveroption @server=N'リンクサーバーTEST', @optname=N'dist', @optvalue=N'false'</t>
  </si>
  <si>
    <t>EXEC master.dbo.sp_serveroption @server=N'リンクサーバーTEST', @optname=N'pub', @optvalue=N'false'</t>
  </si>
  <si>
    <t>EXEC master.dbo.sp_serveroption @server=N'リンクサーバーTEST', @optname=N'rpc', @optvalue=N'false'</t>
  </si>
  <si>
    <t>EXEC master.dbo.sp_serveroption @server=N'リンクサーバーTEST', @optname=N'rpc out', @optvalue=N'false'</t>
  </si>
  <si>
    <t>EXEC master.dbo.sp_serveroption @server=N'リンクサーバーTEST', @optname=N'sub', @optvalue=N'false'</t>
  </si>
  <si>
    <t>EXEC master.dbo.sp_serveroption @server=N'リンクサーバーTEST', @optname=N'connect timeout', @optvalue=N'0'</t>
  </si>
  <si>
    <t>EXEC master.dbo.sp_serveroption @server=N'リンクサーバーTEST', @optname=N'collation name', @optvalue=null</t>
  </si>
  <si>
    <t>EXEC master.dbo.sp_serveroption @server=N'リンクサーバーTEST', @optname=N'lazy schema validation', @optvalue=N'false'</t>
  </si>
  <si>
    <t>EXEC master.dbo.sp_serveroption @server=N'リンクサーバーTEST', @optname=N'query timeout', @optvalue=N'0'</t>
  </si>
  <si>
    <t>EXEC master.dbo.sp_serveroption @server=N'リンクサーバーTEST', @optname=N'use remote collation', @optvalue=N'true'</t>
  </si>
  <si>
    <t>EXEC master.dbo.sp_serveroption @server=N'リンクサーバーTEST', @optname=N'remote proc transaction promotion', @optvalue=N'true'</t>
  </si>
  <si>
    <t>r</t>
    <phoneticPr fontId="1"/>
  </si>
  <si>
    <t>消費税率</t>
    <rPh sb="0" eb="3">
      <t>ショウヒゼイ</t>
    </rPh>
    <rPh sb="3" eb="4">
      <t>リツ</t>
    </rPh>
    <phoneticPr fontId="1"/>
  </si>
  <si>
    <t>税抜額</t>
    <rPh sb="0" eb="2">
      <t>ゼイヌキ</t>
    </rPh>
    <rPh sb="2" eb="3">
      <t>ガク</t>
    </rPh>
    <phoneticPr fontId="1"/>
  </si>
  <si>
    <t>税込み額</t>
    <rPh sb="0" eb="2">
      <t>ゼイコ</t>
    </rPh>
    <rPh sb="3" eb="4">
      <t>ガク</t>
    </rPh>
    <phoneticPr fontId="1"/>
  </si>
  <si>
    <t>消費税額</t>
    <rPh sb="0" eb="3">
      <t>ショウヒゼイ</t>
    </rPh>
    <rPh sb="3" eb="4">
      <t>ガク</t>
    </rPh>
    <phoneticPr fontId="1"/>
  </si>
  <si>
    <t>税抜金額A</t>
    <rPh sb="0" eb="2">
      <t>ゼイヌキ</t>
    </rPh>
    <rPh sb="2" eb="3">
      <t>キン</t>
    </rPh>
    <rPh sb="3" eb="4">
      <t>ガク</t>
    </rPh>
    <phoneticPr fontId="1"/>
  </si>
  <si>
    <t>税抜金額B</t>
    <rPh sb="0" eb="2">
      <t>ゼイヌキ</t>
    </rPh>
    <rPh sb="2" eb="3">
      <t>キン</t>
    </rPh>
    <rPh sb="3" eb="4">
      <t>ガク</t>
    </rPh>
    <phoneticPr fontId="1"/>
  </si>
  <si>
    <t>ouさん</t>
    <phoneticPr fontId="1"/>
  </si>
  <si>
    <t xml:space="preserve">U+1F37A </t>
  </si>
  <si>
    <t xml:space="preserve">U+1F363 </t>
  </si>
  <si>
    <t>U+1F340</t>
  </si>
  <si>
    <t>ἷ</t>
  </si>
  <si>
    <t>😃</t>
    <phoneticPr fontId="1"/>
  </si>
  <si>
    <t>🍺</t>
    <phoneticPr fontId="1"/>
  </si>
  <si>
    <t>🍣</t>
  </si>
  <si>
    <t>🍣</t>
    <phoneticPr fontId="1"/>
  </si>
  <si>
    <t>C:\Users\yama\Desktop\aa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穴\</t>
    <phoneticPr fontId="1"/>
  </si>
  <si>
    <t>C:\Users\yama\Documents\HP\tool\xl\😃\b.txt</t>
    <phoneticPr fontId="1"/>
  </si>
  <si>
    <t>非サロゲートペア文字unicode</t>
    <rPh sb="0" eb="1">
      <t>ヒ</t>
    </rPh>
    <rPh sb="8" eb="10">
      <t>モジ</t>
    </rPh>
    <phoneticPr fontId="1"/>
  </si>
  <si>
    <t>C:\Users\yama\Documents\HP\tool\xl\頰\c.txt</t>
    <phoneticPr fontId="1"/>
  </si>
  <si>
    <t>あ</t>
  </si>
  <si>
    <t>頰</t>
  </si>
  <si>
    <t>𩸽</t>
  </si>
  <si>
    <t>LEN</t>
    <phoneticPr fontId="1"/>
  </si>
  <si>
    <t>検証用ファイルフルパス</t>
    <rPh sb="0" eb="3">
      <t>ケンショウヨウ</t>
    </rPh>
    <phoneticPr fontId="1"/>
  </si>
  <si>
    <t>説明</t>
    <rPh sb="0" eb="2">
      <t>セツメイ</t>
    </rPh>
    <phoneticPr fontId="1"/>
  </si>
  <si>
    <t>UNICODE文字</t>
    <rPh sb="7" eb="9">
      <t>モジ</t>
    </rPh>
    <phoneticPr fontId="1"/>
  </si>
  <si>
    <t>サロゲートペア文字１</t>
    <rPh sb="7" eb="9">
      <t>モジ</t>
    </rPh>
    <phoneticPr fontId="1"/>
  </si>
  <si>
    <t>サロゲートペア文字２</t>
    <rPh sb="7" eb="9">
      <t>モジ</t>
    </rPh>
    <phoneticPr fontId="1"/>
  </si>
  <si>
    <t>LENB</t>
    <phoneticPr fontId="1"/>
  </si>
  <si>
    <t>非UNICODEにもある文字</t>
    <rPh sb="0" eb="1">
      <t>ヒ</t>
    </rPh>
    <rPh sb="12" eb="14">
      <t>モジ</t>
    </rPh>
    <phoneticPr fontId="1"/>
  </si>
  <si>
    <t>a</t>
    <phoneticPr fontId="1"/>
  </si>
  <si>
    <t>C:\Users\yama\Documents\HP\tool\xl\a\d.txt</t>
    <phoneticPr fontId="1"/>
  </si>
  <si>
    <t>ホッケの上位「-10137 」、下位「-8643」</t>
    <rPh sb="4" eb="6">
      <t>ジョウイ</t>
    </rPh>
    <rPh sb="16" eb="18">
      <t>カイ</t>
    </rPh>
    <phoneticPr fontId="1"/>
  </si>
  <si>
    <t>辻󠄀田</t>
    <rPh sb="3" eb="4">
      <t>タ</t>
    </rPh>
    <phoneticPr fontId="1"/>
  </si>
  <si>
    <t>辻田</t>
    <rPh sb="1" eb="2">
      <t>タ</t>
    </rPh>
    <phoneticPr fontId="1"/>
  </si>
  <si>
    <t>辻󠄀</t>
    <phoneticPr fontId="1"/>
  </si>
  <si>
    <t>辻</t>
    <phoneticPr fontId="1"/>
  </si>
  <si>
    <t>辻󠄀</t>
    <phoneticPr fontId="1"/>
  </si>
  <si>
    <t>辻󠄀田</t>
  </si>
  <si>
    <t>辻</t>
    <phoneticPr fontId="1"/>
  </si>
  <si>
    <t>非UNICODE＋異体字セレクタあり</t>
    <rPh sb="0" eb="1">
      <t>ヒ</t>
    </rPh>
    <rPh sb="9" eb="12">
      <t>イタイジ</t>
    </rPh>
    <phoneticPr fontId="1"/>
  </si>
  <si>
    <t>←異体字セレクタありの文字から元の文字を得るには=LEFTB(B6,2)すればよい。</t>
    <rPh sb="1" eb="4">
      <t>イタイジ</t>
    </rPh>
    <rPh sb="11" eb="13">
      <t>モジ</t>
    </rPh>
    <rPh sb="15" eb="16">
      <t>モト</t>
    </rPh>
    <rPh sb="17" eb="19">
      <t>モジ</t>
    </rPh>
    <rPh sb="20" eb="21">
      <t>エ</t>
    </rPh>
    <phoneticPr fontId="1"/>
  </si>
  <si>
    <t>C:\Users\yama\Documents\HP\tool\xl\辻󠄀\e.txt</t>
    <phoneticPr fontId="1"/>
  </si>
  <si>
    <t>C:\Users\yama\Documents\HP\tool\xl\😃\a.txt</t>
    <phoneticPr fontId="1"/>
  </si>
  <si>
    <t>C:\Users\yama\Documents\HP\tool\xl\𩸽\b.txt</t>
    <phoneticPr fontId="1"/>
  </si>
  <si>
    <t>C:\Users\yama\Documents\HP\tool\xl\😃aaa</t>
    <phoneticPr fontId="1"/>
  </si>
  <si>
    <t>C:\Users\yama\Documents\HP\tool\xl\aaa</t>
    <phoneticPr fontId="1"/>
  </si>
  <si>
    <t>←エラーになる</t>
    <phoneticPr fontId="1"/>
  </si>
  <si>
    <t>一文字を一文字に取得できる文字は問題ない</t>
    <rPh sb="0" eb="3">
      <t>イチモジ</t>
    </rPh>
    <rPh sb="4" eb="7">
      <t>イチモジ</t>
    </rPh>
    <rPh sb="8" eb="10">
      <t>シュトク</t>
    </rPh>
    <rPh sb="13" eb="15">
      <t>モジ</t>
    </rPh>
    <rPh sb="16" eb="18">
      <t>モンダイ</t>
    </rPh>
    <phoneticPr fontId="1"/>
  </si>
  <si>
    <t>😃😃😃😃😃😃😃😃😃😃</t>
  </si>
  <si>
    <t>辻󠄀辻󠄀辻󠄀辻󠄀辻󠄀辻󠄀辻󠄀辻󠄀辻󠄀辻󠄀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</si>
</sst>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F1419"/>
      <name val="Segoe UI"/>
      <family val="2"/>
    </font>
    <font>
      <sz val="10"/>
      <color rgb="FF424242"/>
      <name val="ＭＳ ゴシック"/>
      <family val="3"/>
      <charset val="128"/>
    </font>
    <font>
      <sz val="10"/>
      <color rgb="FF424242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20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400050</xdr:colOff>
      <xdr:row>17</xdr:row>
      <xdr:rowOff>409575</xdr:rowOff>
    </xdr:from>
    <xdr:to>
      <xdr:col>6</xdr:col>
      <xdr:colOff>400050</xdr:colOff>
      <xdr:row>17</xdr:row>
      <xdr:rowOff>1095375</xdr:rowOff>
    </xdr:to>
    <xdr:pic>
      <xdr:nvPicPr>
        <xdr:cNvPr id="2" name="図 1" descr="ビール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3324225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295275</xdr:colOff>
      <xdr:row>17</xdr:row>
      <xdr:rowOff>1581150</xdr:rowOff>
    </xdr:from>
    <xdr:to>
      <xdr:col>7</xdr:col>
      <xdr:colOff>295275</xdr:colOff>
      <xdr:row>18</xdr:row>
      <xdr:rowOff>610257</xdr:rowOff>
    </xdr:to>
    <xdr:pic>
      <xdr:nvPicPr>
        <xdr:cNvPr id="3" name="図 2" descr="寿司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4495800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219075</xdr:colOff>
      <xdr:row>19</xdr:row>
      <xdr:rowOff>476250</xdr:rowOff>
    </xdr:from>
    <xdr:to>
      <xdr:col>6</xdr:col>
      <xdr:colOff>219075</xdr:colOff>
      <xdr:row>22</xdr:row>
      <xdr:rowOff>38100</xdr:rowOff>
    </xdr:to>
    <xdr:pic>
      <xdr:nvPicPr>
        <xdr:cNvPr id="4" name="図 3" descr="四つ葉のクローバー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0" y="5257800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topLeftCell="A8" zoomScale="145" zoomScaleNormal="145" workbookViewId="0">
      <selection activeCell="E19" sqref="E19"/>
    </sheetView>
  </sheetViews>
  <sheetFormatPr defaultRowHeight="13.5" x14ac:dyDescent="0.15"/>
  <cols>
    <col min="1" max="1" width="10.25" bestFit="1" customWidth="1"/>
    <col min="3" max="3" width="24.625" customWidth="1"/>
  </cols>
  <sheetData>
    <row r="1" spans="1:5" x14ac:dyDescent="0.15">
      <c r="A1" t="s">
        <v>15</v>
      </c>
      <c r="B1">
        <v>10</v>
      </c>
    </row>
    <row r="2" spans="1:5" x14ac:dyDescent="0.15">
      <c r="A2" t="s">
        <v>16</v>
      </c>
      <c r="B2">
        <v>1111</v>
      </c>
    </row>
    <row r="3" spans="1:5" x14ac:dyDescent="0.15">
      <c r="A3" t="s">
        <v>17</v>
      </c>
      <c r="B3">
        <f>ROUNDDOWN(B2*(100+B1)/100,0)</f>
        <v>1222</v>
      </c>
    </row>
    <row r="4" spans="1:5" x14ac:dyDescent="0.15">
      <c r="A4" t="s">
        <v>18</v>
      </c>
      <c r="B4">
        <f>ROUNDDOWN(B3*B1/(100+B1),0)</f>
        <v>111</v>
      </c>
    </row>
    <row r="6" spans="1:5" x14ac:dyDescent="0.15">
      <c r="A6" t="s">
        <v>19</v>
      </c>
      <c r="B6">
        <f>ROUNDDOWN(B3/(100+B1)*100,0)</f>
        <v>1110</v>
      </c>
    </row>
    <row r="7" spans="1:5" x14ac:dyDescent="0.15">
      <c r="A7" t="s">
        <v>20</v>
      </c>
      <c r="B7">
        <f>B3-B4</f>
        <v>1111</v>
      </c>
    </row>
    <row r="12" spans="1:5" x14ac:dyDescent="0.15">
      <c r="D12" t="s">
        <v>21</v>
      </c>
      <c r="E12" s="2">
        <v>0.375</v>
      </c>
    </row>
    <row r="18" spans="1:12" ht="130.5" customHeight="1" x14ac:dyDescent="0.15">
      <c r="A18">
        <f>LEN(B18)</f>
        <v>225</v>
      </c>
      <c r="B18" t="s">
        <v>30</v>
      </c>
      <c r="C18" s="3"/>
      <c r="J18" t="s">
        <v>26</v>
      </c>
      <c r="K18" t="s">
        <v>29</v>
      </c>
      <c r="L18" t="s">
        <v>28</v>
      </c>
    </row>
    <row r="19" spans="1:12" ht="62.25" customHeight="1" x14ac:dyDescent="0.15">
      <c r="C19" s="3" t="s">
        <v>22</v>
      </c>
      <c r="D19" t="s">
        <v>25</v>
      </c>
      <c r="J19" t="s">
        <v>27</v>
      </c>
    </row>
    <row r="20" spans="1:12" ht="55.5" customHeight="1" x14ac:dyDescent="0.15"/>
    <row r="21" spans="1:12" ht="16.5" x14ac:dyDescent="0.15">
      <c r="C21" s="3"/>
    </row>
    <row r="22" spans="1:12" ht="16.5" x14ac:dyDescent="0.15">
      <c r="C22" s="3" t="s">
        <v>23</v>
      </c>
    </row>
    <row r="23" spans="1:12" ht="65.25" customHeight="1" x14ac:dyDescent="0.15"/>
    <row r="24" spans="1:12" ht="66" customHeight="1" x14ac:dyDescent="0.15">
      <c r="C24" s="3"/>
    </row>
    <row r="25" spans="1:12" ht="93" customHeight="1" x14ac:dyDescent="0.15">
      <c r="C25" s="3" t="s">
        <v>24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"/>
  <sheetViews>
    <sheetView workbookViewId="0"/>
  </sheetViews>
  <sheetFormatPr defaultRowHeight="13.5" x14ac:dyDescent="0.15"/>
  <sheetData>
    <row r="1" spans="1:1" x14ac:dyDescent="0.15">
      <c r="A1" t="s">
        <v>34</v>
      </c>
    </row>
    <row r="2" spans="1:1" x14ac:dyDescent="0.15">
      <c r="A2" t="s">
        <v>35</v>
      </c>
    </row>
    <row r="4" spans="1:1" x14ac:dyDescent="0.15">
      <c r="A4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zoomScale="160" zoomScaleNormal="160" workbookViewId="0">
      <selection sqref="A1:D6"/>
    </sheetView>
  </sheetViews>
  <sheetFormatPr defaultRowHeight="13.5" x14ac:dyDescent="0.15"/>
  <cols>
    <col min="1" max="1" width="26.625" bestFit="1" customWidth="1"/>
    <col min="2" max="2" width="13.5" bestFit="1" customWidth="1"/>
    <col min="5" max="6" width="44.25" bestFit="1" customWidth="1"/>
  </cols>
  <sheetData>
    <row r="1" spans="1:7" x14ac:dyDescent="0.15">
      <c r="A1" t="s">
        <v>39</v>
      </c>
      <c r="B1" t="s">
        <v>40</v>
      </c>
      <c r="C1" t="s">
        <v>37</v>
      </c>
      <c r="D1" t="s">
        <v>43</v>
      </c>
      <c r="E1" t="s">
        <v>38</v>
      </c>
    </row>
    <row r="2" spans="1:7" x14ac:dyDescent="0.15">
      <c r="A2" t="s">
        <v>41</v>
      </c>
      <c r="B2" t="str">
        <f>_xlfn.UNICHAR(171581)</f>
        <v>𩸽</v>
      </c>
      <c r="C2">
        <f>LEN(B2)</f>
        <v>2</v>
      </c>
      <c r="D2">
        <f>LENB(B2)</f>
        <v>2</v>
      </c>
      <c r="E2" t="s">
        <v>59</v>
      </c>
      <c r="F2" t="e">
        <f>"C:\Users\yama\Documents\HP\tool\xl\"&amp;CHAR(-13137)&amp;CHAR(-8643)&amp;"\a.txt"</f>
        <v>#VALUE!</v>
      </c>
      <c r="G2" t="s">
        <v>47</v>
      </c>
    </row>
    <row r="3" spans="1:7" x14ac:dyDescent="0.15">
      <c r="A3" t="s">
        <v>42</v>
      </c>
      <c r="B3" t="str">
        <f>_xlfn.UNICHAR(128515)</f>
        <v>😃</v>
      </c>
      <c r="C3">
        <f>LEN(B3)</f>
        <v>2</v>
      </c>
      <c r="D3">
        <f t="shared" ref="D3:D4" si="0">LENB(B3)</f>
        <v>2</v>
      </c>
      <c r="E3" t="s">
        <v>58</v>
      </c>
      <c r="F3" t="s">
        <v>31</v>
      </c>
    </row>
    <row r="4" spans="1:7" x14ac:dyDescent="0.15">
      <c r="A4" t="s">
        <v>32</v>
      </c>
      <c r="B4" t="str">
        <f>_xlfn.UNICHAR(38960)</f>
        <v>頰</v>
      </c>
      <c r="C4">
        <f>LEN(B4)</f>
        <v>1</v>
      </c>
      <c r="D4">
        <f t="shared" si="0"/>
        <v>1</v>
      </c>
      <c r="E4" t="s">
        <v>33</v>
      </c>
      <c r="F4" t="s">
        <v>33</v>
      </c>
    </row>
    <row r="5" spans="1:7" x14ac:dyDescent="0.15">
      <c r="A5" t="s">
        <v>44</v>
      </c>
      <c r="B5" t="s">
        <v>45</v>
      </c>
      <c r="C5">
        <f>LEN(B5)</f>
        <v>1</v>
      </c>
      <c r="D5">
        <f t="shared" ref="D5" si="1">LENB(B5)</f>
        <v>1</v>
      </c>
      <c r="E5" t="s">
        <v>46</v>
      </c>
    </row>
    <row r="6" spans="1:7" x14ac:dyDescent="0.15">
      <c r="A6" t="s">
        <v>55</v>
      </c>
      <c r="B6" s="4" t="s">
        <v>50</v>
      </c>
      <c r="C6">
        <f>LEN(B6)</f>
        <v>3</v>
      </c>
      <c r="D6">
        <f t="shared" ref="D6" si="2">LENB(B6)</f>
        <v>4</v>
      </c>
      <c r="E6" t="s">
        <v>57</v>
      </c>
    </row>
    <row r="7" spans="1:7" x14ac:dyDescent="0.15">
      <c r="B7" t="str">
        <f>LEFTB(B6,2)</f>
        <v>辻</v>
      </c>
      <c r="C7" t="s">
        <v>56</v>
      </c>
    </row>
    <row r="8" spans="1:7" x14ac:dyDescent="0.15">
      <c r="B8" s="4" t="s">
        <v>50</v>
      </c>
    </row>
    <row r="9" spans="1:7" x14ac:dyDescent="0.15">
      <c r="B9">
        <f>CODE(B8)</f>
        <v>17492</v>
      </c>
    </row>
    <row r="10" spans="1:7" x14ac:dyDescent="0.15">
      <c r="B10" t="s">
        <v>51</v>
      </c>
      <c r="D10" t="s">
        <v>54</v>
      </c>
    </row>
    <row r="12" spans="1:7" x14ac:dyDescent="0.15">
      <c r="B12" s="4" t="s">
        <v>49</v>
      </c>
    </row>
    <row r="13" spans="1:7" x14ac:dyDescent="0.15">
      <c r="B13" s="4" t="s">
        <v>48</v>
      </c>
      <c r="C13" s="4" t="s">
        <v>53</v>
      </c>
    </row>
    <row r="14" spans="1:7" x14ac:dyDescent="0.15">
      <c r="B14" s="4" t="s">
        <v>52</v>
      </c>
      <c r="C14">
        <f>LEN(B14)</f>
        <v>3</v>
      </c>
      <c r="D14">
        <f t="shared" ref="D14" si="3">LENB(B14)</f>
        <v>4</v>
      </c>
    </row>
    <row r="15" spans="1:7" ht="16.5" x14ac:dyDescent="0.15">
      <c r="B15" s="5" t="s">
        <v>48</v>
      </c>
    </row>
    <row r="19" spans="5:5" x14ac:dyDescent="0.15">
      <c r="E19" t="e">
        <f>_xlfn.UNICHAR(-10137)</f>
        <v>#VALUE!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"/>
  <sheetViews>
    <sheetView tabSelected="1" workbookViewId="0">
      <selection activeCell="B5" sqref="B5"/>
    </sheetView>
  </sheetViews>
  <sheetFormatPr defaultRowHeight="13.5" x14ac:dyDescent="0.15"/>
  <cols>
    <col min="1" max="1" width="30.125" bestFit="1" customWidth="1"/>
    <col min="2" max="2" width="13.5" bestFit="1" customWidth="1"/>
    <col min="3" max="3" width="4.75" bestFit="1" customWidth="1"/>
    <col min="4" max="4" width="6" bestFit="1" customWidth="1"/>
    <col min="5" max="5" width="21.375" bestFit="1" customWidth="1"/>
  </cols>
  <sheetData>
    <row r="1" spans="1:5" x14ac:dyDescent="0.15">
      <c r="A1" t="s">
        <v>39</v>
      </c>
      <c r="B1" t="s">
        <v>40</v>
      </c>
      <c r="C1" t="s">
        <v>37</v>
      </c>
      <c r="D1" t="s">
        <v>43</v>
      </c>
    </row>
    <row r="2" spans="1:5" x14ac:dyDescent="0.15">
      <c r="A2" t="s">
        <v>32</v>
      </c>
      <c r="B2" t="str">
        <f>_xlfn.UNICHAR(38960)</f>
        <v>頰</v>
      </c>
      <c r="C2">
        <f>LEN(B2)</f>
        <v>1</v>
      </c>
      <c r="D2">
        <f>LENB(B2)</f>
        <v>1</v>
      </c>
      <c r="E2" t="s">
        <v>63</v>
      </c>
    </row>
    <row r="3" spans="1:5" x14ac:dyDescent="0.15">
      <c r="A3" t="s">
        <v>44</v>
      </c>
      <c r="B3" t="s">
        <v>45</v>
      </c>
      <c r="C3">
        <f>LEN(B3)</f>
        <v>1</v>
      </c>
      <c r="D3">
        <f>LENB(B3)</f>
        <v>1</v>
      </c>
      <c r="E3" t="s">
        <v>63</v>
      </c>
    </row>
    <row r="4" spans="1:5" x14ac:dyDescent="0.15">
      <c r="A4" t="s">
        <v>42</v>
      </c>
      <c r="B4" t="str">
        <f>_xlfn.UNICHAR(128515)</f>
        <v>😃</v>
      </c>
      <c r="C4">
        <f>LEN(B4)</f>
        <v>2</v>
      </c>
      <c r="D4">
        <f t="shared" ref="D4:D5" si="0">LENB(B4)</f>
        <v>2</v>
      </c>
      <c r="E4" t="s">
        <v>64</v>
      </c>
    </row>
    <row r="5" spans="1:5" x14ac:dyDescent="0.15">
      <c r="A5" t="s">
        <v>55</v>
      </c>
      <c r="B5" s="4" t="s">
        <v>50</v>
      </c>
      <c r="C5">
        <f>LEN(B5)</f>
        <v>3</v>
      </c>
      <c r="D5">
        <f t="shared" si="0"/>
        <v>4</v>
      </c>
      <c r="E5" t="s">
        <v>65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8"/>
  <sheetViews>
    <sheetView workbookViewId="0">
      <selection activeCell="G23" sqref="G23"/>
    </sheetView>
  </sheetViews>
  <sheetFormatPr defaultRowHeight="13.5" x14ac:dyDescent="0.15"/>
  <sheetData>
    <row r="1" spans="1:1" x14ac:dyDescent="0.15">
      <c r="A1" s="1" t="s">
        <v>0</v>
      </c>
    </row>
    <row r="2" spans="1:1" x14ac:dyDescent="0.15">
      <c r="A2" t="s">
        <v>1</v>
      </c>
    </row>
    <row r="3" spans="1:1" x14ac:dyDescent="0.15">
      <c r="A3" t="s">
        <v>14</v>
      </c>
    </row>
    <row r="4" spans="1:1" x14ac:dyDescent="0.15">
      <c r="A4" t="s">
        <v>1</v>
      </c>
    </row>
    <row r="5" spans="1:1" x14ac:dyDescent="0.15">
      <c r="A5" t="s">
        <v>2</v>
      </c>
    </row>
    <row r="6" spans="1:1" x14ac:dyDescent="0.15">
      <c r="A6" t="s">
        <v>1</v>
      </c>
    </row>
    <row r="7" spans="1:1" x14ac:dyDescent="0.15">
      <c r="A7" t="s">
        <v>3</v>
      </c>
    </row>
    <row r="8" spans="1:1" x14ac:dyDescent="0.15">
      <c r="A8" t="s">
        <v>1</v>
      </c>
    </row>
    <row r="9" spans="1:1" x14ac:dyDescent="0.15">
      <c r="A9" t="s">
        <v>4</v>
      </c>
    </row>
    <row r="10" spans="1:1" x14ac:dyDescent="0.15">
      <c r="A10" t="s">
        <v>1</v>
      </c>
    </row>
    <row r="11" spans="1:1" x14ac:dyDescent="0.15">
      <c r="A11" t="s">
        <v>5</v>
      </c>
    </row>
    <row r="12" spans="1:1" x14ac:dyDescent="0.15">
      <c r="A12" t="s">
        <v>1</v>
      </c>
    </row>
    <row r="13" spans="1:1" x14ac:dyDescent="0.15">
      <c r="A13" t="s">
        <v>6</v>
      </c>
    </row>
    <row r="14" spans="1:1" x14ac:dyDescent="0.15">
      <c r="A14" t="s">
        <v>1</v>
      </c>
    </row>
    <row r="15" spans="1:1" x14ac:dyDescent="0.15">
      <c r="A15" t="s">
        <v>7</v>
      </c>
    </row>
    <row r="16" spans="1:1" x14ac:dyDescent="0.15">
      <c r="A16" t="s">
        <v>1</v>
      </c>
    </row>
    <row r="17" spans="1:1" x14ac:dyDescent="0.15">
      <c r="A17" t="s">
        <v>8</v>
      </c>
    </row>
    <row r="18" spans="1:1" x14ac:dyDescent="0.15">
      <c r="A18" t="s">
        <v>1</v>
      </c>
    </row>
    <row r="19" spans="1:1" x14ac:dyDescent="0.15">
      <c r="A19" t="s">
        <v>9</v>
      </c>
    </row>
    <row r="20" spans="1:1" x14ac:dyDescent="0.15">
      <c r="A20" t="s">
        <v>1</v>
      </c>
    </row>
    <row r="21" spans="1:1" x14ac:dyDescent="0.15">
      <c r="A21" t="s">
        <v>10</v>
      </c>
    </row>
    <row r="22" spans="1:1" x14ac:dyDescent="0.15">
      <c r="A22" t="s">
        <v>1</v>
      </c>
    </row>
    <row r="23" spans="1:1" x14ac:dyDescent="0.15">
      <c r="A23" t="s">
        <v>11</v>
      </c>
    </row>
    <row r="24" spans="1:1" x14ac:dyDescent="0.15">
      <c r="A24" t="s">
        <v>1</v>
      </c>
    </row>
    <row r="25" spans="1:1" x14ac:dyDescent="0.15">
      <c r="A25" t="s">
        <v>12</v>
      </c>
    </row>
    <row r="26" spans="1:1" x14ac:dyDescent="0.15">
      <c r="A26" t="s">
        <v>1</v>
      </c>
    </row>
    <row r="27" spans="1:1" x14ac:dyDescent="0.15">
      <c r="A27" t="s">
        <v>13</v>
      </c>
    </row>
    <row r="28" spans="1:1" x14ac:dyDescent="0.15">
      <c r="A28" t="s">
        <v>1</v>
      </c>
    </row>
  </sheetData>
  <autoFilter ref="A1:A28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"/>
  <sheetViews>
    <sheetView workbookViewId="0">
      <selection activeCell="F2" sqref="F2"/>
    </sheetView>
  </sheetViews>
  <sheetFormatPr defaultRowHeight="13.5" x14ac:dyDescent="0.15"/>
  <sheetData>
    <row r="1" spans="1:6" x14ac:dyDescent="0.15">
      <c r="A1" t="s">
        <v>60</v>
      </c>
      <c r="F1" t="s">
        <v>62</v>
      </c>
    </row>
    <row r="2" spans="1:6" x14ac:dyDescent="0.15">
      <c r="A2" t="s">
        <v>61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Sheet2</vt:lpstr>
      <vt:lpstr>列挙する</vt:lpstr>
      <vt:lpstr>UNICODEサロゲート文字を含むファイルパス</vt:lpstr>
      <vt:lpstr>文字数を取得する</vt:lpstr>
      <vt:lpstr>Sheet1</vt:lpstr>
      <vt:lpstr>MKDIRテスト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</dc:creator>
  <cp:lastModifiedBy>yama</cp:lastModifiedBy>
  <dcterms:created xsi:type="dcterms:W3CDTF">2021-05-11T01:55:54Z</dcterms:created>
  <dcterms:modified xsi:type="dcterms:W3CDTF">2021-05-16T12:36:57Z</dcterms:modified>
</cp:coreProperties>
</file>